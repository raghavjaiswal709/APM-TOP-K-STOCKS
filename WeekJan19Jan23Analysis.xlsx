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ACC5B0B-1F75-4D71-B4CD-ED8DA69051F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y Breakdow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H33" i="1"/>
  <c r="I32" i="1"/>
  <c r="K32" i="1"/>
  <c r="X11" i="1"/>
  <c r="J35" i="1"/>
  <c r="J33" i="1"/>
  <c r="J32" i="1"/>
  <c r="J29" i="1"/>
  <c r="G27" i="1"/>
  <c r="H32" i="1"/>
  <c r="J28" i="1"/>
  <c r="J27" i="1"/>
  <c r="H29" i="1"/>
  <c r="H27" i="1"/>
  <c r="H25" i="1"/>
  <c r="I25" i="1" s="1"/>
  <c r="H18" i="1"/>
  <c r="H13" i="1"/>
  <c r="H12" i="1"/>
  <c r="H11" i="1"/>
  <c r="AD5" i="1" s="1"/>
  <c r="J26" i="1"/>
  <c r="J11" i="1"/>
  <c r="J12" i="1"/>
  <c r="J13" i="1"/>
  <c r="J14" i="1"/>
  <c r="J15" i="1"/>
  <c r="J16" i="1"/>
  <c r="J17" i="1"/>
  <c r="J18" i="1"/>
  <c r="J19" i="1"/>
  <c r="J20" i="1"/>
  <c r="J21" i="1"/>
  <c r="J22" i="1"/>
  <c r="J25" i="1"/>
  <c r="K11" i="1"/>
  <c r="T32" i="1"/>
  <c r="T25" i="1"/>
  <c r="T19" i="1"/>
  <c r="T13" i="1"/>
  <c r="T11" i="1"/>
  <c r="AE5" i="1" s="1"/>
  <c r="X32" i="1"/>
  <c r="X25" i="1"/>
  <c r="X19" i="1"/>
  <c r="X13" i="1"/>
  <c r="Q36" i="1"/>
  <c r="Q12" i="1"/>
  <c r="Q13" i="1"/>
  <c r="Q14" i="1"/>
  <c r="Q15" i="1"/>
  <c r="Q16" i="1"/>
  <c r="Q17" i="1"/>
  <c r="Q18" i="1"/>
  <c r="Q23" i="1"/>
  <c r="Q24" i="1"/>
  <c r="Q29" i="1"/>
  <c r="Q30" i="1"/>
  <c r="Q31" i="1"/>
  <c r="Q35" i="1"/>
  <c r="Q11" i="1"/>
  <c r="I13" i="1"/>
  <c r="AG5" i="1" l="1"/>
  <c r="AH5" i="1"/>
  <c r="R25" i="1"/>
  <c r="R32" i="1"/>
  <c r="U32" i="1"/>
  <c r="U25" i="1"/>
  <c r="R19" i="1"/>
  <c r="U19" i="1"/>
  <c r="R13" i="1"/>
  <c r="U13" i="1"/>
  <c r="R11" i="1"/>
  <c r="U11" i="1"/>
  <c r="K19" i="1"/>
  <c r="K25" i="1"/>
  <c r="K13" i="1"/>
  <c r="I11" i="1"/>
  <c r="AF5" i="1" l="1"/>
</calcChain>
</file>

<file path=xl/sharedStrings.xml><?xml version="1.0" encoding="utf-8"?>
<sst xmlns="http://schemas.openxmlformats.org/spreadsheetml/2006/main" count="199" uniqueCount="47">
  <si>
    <t>Week</t>
  </si>
  <si>
    <t>Live</t>
  </si>
  <si>
    <t>K0 Recommendation</t>
  </si>
  <si>
    <t>NIFTY50</t>
  </si>
  <si>
    <t>Invested</t>
  </si>
  <si>
    <t>Total P&amp;L</t>
  </si>
  <si>
    <t>Avg % return</t>
  </si>
  <si>
    <t>Max invested</t>
  </si>
  <si>
    <t>Jan 19 - Jan 23</t>
  </si>
  <si>
    <t>Day</t>
  </si>
  <si>
    <t>Stocks (w/ carry-forward)</t>
  </si>
  <si>
    <t>K0 recommendations</t>
  </si>
  <si>
    <t>New shares</t>
  </si>
  <si>
    <t>Total shares</t>
  </si>
  <si>
    <t>Entry</t>
  </si>
  <si>
    <t>Exit</t>
  </si>
  <si>
    <t>Price/share</t>
  </si>
  <si>
    <t>% return</t>
  </si>
  <si>
    <t>Total invested</t>
  </si>
  <si>
    <t>Net P&amp;L</t>
  </si>
  <si>
    <t>Recommendations</t>
  </si>
  <si>
    <t>Open</t>
  </si>
  <si>
    <t>Close</t>
  </si>
  <si>
    <t>% Return</t>
  </si>
  <si>
    <t>Monday Jan-19</t>
  </si>
  <si>
    <t>PFOCUS</t>
  </si>
  <si>
    <t>Enter at market open</t>
  </si>
  <si>
    <t>CUPID</t>
  </si>
  <si>
    <t>Tuesday Jan-20</t>
  </si>
  <si>
    <t>HINDZINC</t>
  </si>
  <si>
    <t>MAHABANK</t>
  </si>
  <si>
    <t>NA</t>
  </si>
  <si>
    <t>NATIONALUM</t>
  </si>
  <si>
    <t> </t>
  </si>
  <si>
    <t>IIFL</t>
  </si>
  <si>
    <t>HINDALCO</t>
  </si>
  <si>
    <t>INDOTHAI</t>
  </si>
  <si>
    <t>Wednesday Jan-21</t>
  </si>
  <si>
    <t>SOUTHBANK</t>
  </si>
  <si>
    <t>Enter after the first 30 minutes</t>
  </si>
  <si>
    <t>Thursday Jan-22</t>
  </si>
  <si>
    <t>Wait for entry at 11:30</t>
  </si>
  <si>
    <t>Wait until 9:45</t>
  </si>
  <si>
    <t>Wait until 11:15, depends on NIFTY</t>
  </si>
  <si>
    <t>Friday Jan-23</t>
  </si>
  <si>
    <t>JINDALSTEL</t>
  </si>
  <si>
    <t>Wait until 10:15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</si>
</sst>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3.5"/>
      <color rgb="FF000000"/>
      <name val="Times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4" fontId="0" fillId="0" borderId="5" xfId="0" applyNumberFormat="1" applyBorder="1"/>
    <xf numFmtId="2" fontId="0" fillId="0" borderId="1" xfId="0" applyNumberFormat="1" applyBorder="1"/>
    <xf numFmtId="164" fontId="0" fillId="0" borderId="1" xfId="0" applyNumberFormat="1" applyBorder="1" applyAlignment="1">
      <alignment vertical="center"/>
    </xf>
    <xf numFmtId="164" fontId="0" fillId="0" borderId="2" xfId="0" applyNumberFormat="1" applyBorder="1"/>
    <xf numFmtId="164" fontId="0" fillId="0" borderId="4" xfId="0" applyNumberFormat="1" applyBorder="1"/>
    <xf numFmtId="0" fontId="0" fillId="0" borderId="1" xfId="0" applyBorder="1" applyAlignment="1">
      <alignment horizontal="left"/>
    </xf>
    <xf numFmtId="164" fontId="0" fillId="0" borderId="6" xfId="0" applyNumberFormat="1" applyBorder="1"/>
    <xf numFmtId="0" fontId="1" fillId="0" borderId="2" xfId="0" applyFont="1" applyBorder="1" applyAlignment="1">
      <alignment horizontal="center" vertical="center"/>
    </xf>
    <xf numFmtId="2" fontId="0" fillId="0" borderId="2" xfId="0" applyNumberFormat="1" applyBorder="1"/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left" vertical="center"/>
    </xf>
    <xf numFmtId="164" fontId="0" fillId="0" borderId="5" xfId="0" applyNumberFormat="1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left" vertical="center"/>
    </xf>
    <xf numFmtId="164" fontId="0" fillId="3" borderId="3" xfId="0" applyNumberFormat="1" applyFill="1" applyBorder="1" applyAlignment="1">
      <alignment horizontal="left" vertical="center"/>
    </xf>
    <xf numFmtId="164" fontId="0" fillId="3" borderId="4" xfId="0" applyNumberForma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0" fillId="2" borderId="2" xfId="0" applyNumberFormat="1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left" vertical="center"/>
    </xf>
    <xf numFmtId="164" fontId="0" fillId="2" borderId="4" xfId="0" applyNumberForma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04A60"/>
      <color rgb="FFFE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76200</xdr:colOff>
      <xdr:row>10</xdr:row>
      <xdr:rowOff>114300</xdr:rowOff>
    </xdr:from>
    <xdr:to>
      <xdr:col>40</xdr:col>
      <xdr:colOff>444500</xdr:colOff>
      <xdr:row>32</xdr:row>
      <xdr:rowOff>136525</xdr:rowOff>
    </xdr:to>
    <xdr:pic>
      <xdr:nvPicPr>
        <xdr:cNvPr id="2" name="Picture 1" descr="A graph with different colored lines&#10;&#10;AI-generated content may be incorrect.">
          <a:extLst>
            <a:ext uri="{FF2B5EF4-FFF2-40B4-BE49-F238E27FC236}">
              <a16:creationId xmlns:a16="http://schemas.microsoft.com/office/drawing/2014/main" id="{7ADBA724-76E5-F7AB-A65E-3529DC1A8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02575" y="2019300"/>
          <a:ext cx="12217400" cy="424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36"/>
  <sheetViews>
    <sheetView tabSelected="1" workbookViewId="0">
      <pane xSplit="2" topLeftCell="C10" activePane="topRight" state="frozen"/>
      <selection pane="topRight" activeCell="D30" sqref="D30"/>
    </sheetView>
  </sheetViews>
  <sheetFormatPr defaultRowHeight="15"/>
  <cols>
    <col min="1" max="1" width="17.85546875" bestFit="1" customWidth="1"/>
    <col min="2" max="2" width="13.5703125" bestFit="1" customWidth="1"/>
    <col min="3" max="3" width="11.42578125" customWidth="1"/>
    <col min="4" max="4" width="11.7109375" customWidth="1"/>
    <col min="5" max="5" width="10.85546875" bestFit="1" customWidth="1"/>
    <col min="6" max="6" width="9.140625" bestFit="1" customWidth="1"/>
    <col min="7" max="7" width="11.42578125" customWidth="1"/>
    <col min="8" max="8" width="8.85546875" bestFit="1" customWidth="1"/>
    <col min="9" max="9" width="12.7109375" bestFit="1" customWidth="1"/>
    <col min="10" max="10" width="13" bestFit="1" customWidth="1"/>
    <col min="11" max="11" width="13.85546875" bestFit="1" customWidth="1"/>
    <col min="12" max="13" width="12.5703125" bestFit="1" customWidth="1"/>
    <col min="14" max="14" width="32.5703125" customWidth="1"/>
    <col min="15" max="16" width="10.85546875" bestFit="1" customWidth="1"/>
    <col min="17" max="17" width="8.85546875" bestFit="1" customWidth="1"/>
    <col min="18" max="18" width="12.7109375" bestFit="1" customWidth="1"/>
    <col min="19" max="19" width="13" bestFit="1" customWidth="1"/>
    <col min="20" max="20" width="13.85546875" bestFit="1" customWidth="1"/>
    <col min="21" max="21" width="12.5703125" bestFit="1" customWidth="1"/>
    <col min="22" max="23" width="11.85546875" bestFit="1" customWidth="1"/>
    <col min="24" max="24" width="9.28515625" bestFit="1" customWidth="1"/>
    <col min="27" max="27" width="13.85546875" bestFit="1" customWidth="1"/>
    <col min="28" max="28" width="13" bestFit="1" customWidth="1"/>
    <col min="29" max="29" width="12.5703125" bestFit="1" customWidth="1"/>
    <col min="30" max="30" width="12.7109375" bestFit="1" customWidth="1"/>
    <col min="31" max="31" width="13.28515625" bestFit="1" customWidth="1"/>
    <col min="32" max="32" width="13.7109375" bestFit="1" customWidth="1"/>
    <col min="33" max="34" width="12.7109375" bestFit="1" customWidth="1"/>
  </cols>
  <sheetData>
    <row r="1" spans="1:34">
      <c r="X1" s="1"/>
    </row>
    <row r="3" spans="1:34">
      <c r="AA3" s="43" t="s">
        <v>0</v>
      </c>
      <c r="AB3" s="45" t="s">
        <v>1</v>
      </c>
      <c r="AC3" s="46"/>
      <c r="AD3" s="17"/>
      <c r="AE3" s="19" t="s">
        <v>2</v>
      </c>
      <c r="AF3" s="21"/>
      <c r="AG3" s="21"/>
      <c r="AH3" s="17" t="s">
        <v>3</v>
      </c>
    </row>
    <row r="4" spans="1:34">
      <c r="AA4" s="44"/>
      <c r="AB4" s="17" t="s">
        <v>4</v>
      </c>
      <c r="AC4" s="17" t="s">
        <v>5</v>
      </c>
      <c r="AD4" s="17" t="s">
        <v>6</v>
      </c>
      <c r="AE4" s="17" t="s">
        <v>7</v>
      </c>
      <c r="AF4" s="17" t="s">
        <v>5</v>
      </c>
      <c r="AG4" s="19" t="s">
        <v>6</v>
      </c>
      <c r="AH4" s="17" t="s">
        <v>6</v>
      </c>
    </row>
    <row r="5" spans="1:34">
      <c r="AA5" s="4" t="s">
        <v>8</v>
      </c>
      <c r="AB5" s="5">
        <v>598346.67000000004</v>
      </c>
      <c r="AC5" s="5">
        <v>-35843.43</v>
      </c>
      <c r="AD5" s="18">
        <f>AVERAGE(H11:H36)</f>
        <v>-0.42975390417002113</v>
      </c>
      <c r="AE5" s="16">
        <f>MAX(T11:T36)</f>
        <v>600000</v>
      </c>
      <c r="AF5" s="5">
        <f>SUM(U11:U36)</f>
        <v>-30897.698738103503</v>
      </c>
      <c r="AG5" s="20">
        <f>AVERAGE(Q11:Q36)</f>
        <v>-2.0598465825402332</v>
      </c>
      <c r="AH5" s="18">
        <f>AVERAGE(X11:X36)</f>
        <v>-0.57159054154226241</v>
      </c>
    </row>
    <row r="7" spans="1:34">
      <c r="B7" s="1"/>
      <c r="C7" s="1"/>
      <c r="D7" s="1"/>
    </row>
    <row r="9" spans="1:34">
      <c r="A9" s="24" t="s">
        <v>9</v>
      </c>
      <c r="B9" s="25" t="s">
        <v>10</v>
      </c>
      <c r="C9" s="29" t="s">
        <v>1</v>
      </c>
      <c r="D9" s="30"/>
      <c r="E9" s="30"/>
      <c r="F9" s="30"/>
      <c r="G9" s="30"/>
      <c r="H9" s="30"/>
      <c r="I9" s="30"/>
      <c r="J9" s="30"/>
      <c r="K9" s="30"/>
      <c r="L9" s="30"/>
      <c r="M9" s="31"/>
      <c r="N9" s="29" t="s">
        <v>11</v>
      </c>
      <c r="O9" s="30"/>
      <c r="P9" s="30"/>
      <c r="Q9" s="30"/>
      <c r="R9" s="30"/>
      <c r="S9" s="30"/>
      <c r="T9" s="30"/>
      <c r="U9" s="31"/>
      <c r="V9" s="24" t="s">
        <v>3</v>
      </c>
      <c r="W9" s="24"/>
      <c r="X9" s="24"/>
    </row>
    <row r="10" spans="1:34">
      <c r="A10" s="24"/>
      <c r="B10" s="25"/>
      <c r="C10" s="2" t="s">
        <v>12</v>
      </c>
      <c r="D10" s="3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6</v>
      </c>
      <c r="J10" s="2" t="s">
        <v>4</v>
      </c>
      <c r="K10" s="2" t="s">
        <v>18</v>
      </c>
      <c r="L10" s="2" t="s">
        <v>19</v>
      </c>
      <c r="M10" s="2" t="s">
        <v>5</v>
      </c>
      <c r="N10" s="13" t="s">
        <v>20</v>
      </c>
      <c r="O10" s="2" t="s">
        <v>14</v>
      </c>
      <c r="P10" s="2" t="s">
        <v>15</v>
      </c>
      <c r="Q10" s="2" t="s">
        <v>17</v>
      </c>
      <c r="R10" s="2" t="s">
        <v>6</v>
      </c>
      <c r="S10" s="2" t="s">
        <v>4</v>
      </c>
      <c r="T10" s="2" t="s">
        <v>18</v>
      </c>
      <c r="U10" s="2" t="s">
        <v>5</v>
      </c>
      <c r="V10" s="2" t="s">
        <v>21</v>
      </c>
      <c r="W10" s="2" t="s">
        <v>22</v>
      </c>
      <c r="X10" s="2" t="s">
        <v>23</v>
      </c>
    </row>
    <row r="11" spans="1:34">
      <c r="A11" s="23" t="s">
        <v>24</v>
      </c>
      <c r="B11" s="4" t="s">
        <v>25</v>
      </c>
      <c r="C11" s="4">
        <v>425</v>
      </c>
      <c r="D11" s="4">
        <v>425</v>
      </c>
      <c r="E11" s="5">
        <v>233.37</v>
      </c>
      <c r="F11" s="5">
        <v>218.71</v>
      </c>
      <c r="G11" s="5">
        <v>233.37</v>
      </c>
      <c r="H11" s="7">
        <f>-1*100*(G11-F11)/G11</f>
        <v>-6.2818699918584198</v>
      </c>
      <c r="I11" s="34">
        <f>AVERAGE(H11:H12)</f>
        <v>-7.2593531737749597</v>
      </c>
      <c r="J11" s="5">
        <f>D11*G11</f>
        <v>99182.25</v>
      </c>
      <c r="K11" s="32">
        <f>SUM(J11:J12)</f>
        <v>198503.15</v>
      </c>
      <c r="L11" s="32">
        <v>-14581.78</v>
      </c>
      <c r="M11" s="36">
        <v>-14409.77</v>
      </c>
      <c r="N11" s="16" t="s">
        <v>26</v>
      </c>
      <c r="O11" s="12">
        <v>234</v>
      </c>
      <c r="P11" s="5">
        <v>218.1</v>
      </c>
      <c r="Q11" s="7">
        <f>-1*100*(O11-P11)/O11</f>
        <v>-6.7948717948717965</v>
      </c>
      <c r="R11" s="34">
        <f>AVERAGE(Q11:Q12)</f>
        <v>-7.1935313421213642</v>
      </c>
      <c r="S11" s="5">
        <v>100000</v>
      </c>
      <c r="T11" s="32">
        <f>SUM(S11:S12)</f>
        <v>200000</v>
      </c>
      <c r="U11" s="32">
        <f>SUM(S11*Q11,S12*Q12)/100</f>
        <v>-14387.06268424273</v>
      </c>
      <c r="V11" s="50">
        <v>25653.1</v>
      </c>
      <c r="W11" s="50">
        <v>25555.5</v>
      </c>
      <c r="X11" s="34">
        <f>-1*100*(V11-W11)/V11</f>
        <v>-0.38046084098997218</v>
      </c>
    </row>
    <row r="12" spans="1:34">
      <c r="A12" s="23"/>
      <c r="B12" s="4" t="s">
        <v>27</v>
      </c>
      <c r="C12" s="4">
        <v>217</v>
      </c>
      <c r="D12" s="4">
        <v>217</v>
      </c>
      <c r="E12" s="5">
        <v>457.7</v>
      </c>
      <c r="F12" s="5">
        <v>420</v>
      </c>
      <c r="G12" s="5">
        <v>457.7</v>
      </c>
      <c r="H12" s="7">
        <f>-1*100*(G12-F12)/G12</f>
        <v>-8.2368363556914996</v>
      </c>
      <c r="I12" s="34"/>
      <c r="J12" s="5">
        <f t="shared" ref="J12:J27" si="0">D12*G12</f>
        <v>99320.9</v>
      </c>
      <c r="K12" s="32"/>
      <c r="L12" s="32"/>
      <c r="M12" s="36"/>
      <c r="N12" s="16" t="s">
        <v>26</v>
      </c>
      <c r="O12" s="12">
        <v>461</v>
      </c>
      <c r="P12" s="5">
        <v>426</v>
      </c>
      <c r="Q12" s="7">
        <f t="shared" ref="Q12:Q37" si="1">-1*100*(O12-P12)/O12</f>
        <v>-7.5921908893709329</v>
      </c>
      <c r="R12" s="34"/>
      <c r="S12" s="5">
        <v>100000</v>
      </c>
      <c r="T12" s="32"/>
      <c r="U12" s="32"/>
      <c r="V12" s="50"/>
      <c r="W12" s="50"/>
      <c r="X12" s="34"/>
    </row>
    <row r="13" spans="1:34">
      <c r="A13" s="23" t="s">
        <v>28</v>
      </c>
      <c r="B13" s="4" t="s">
        <v>29</v>
      </c>
      <c r="C13" s="4">
        <v>151</v>
      </c>
      <c r="D13" s="4">
        <v>151</v>
      </c>
      <c r="E13" s="5">
        <v>669.55</v>
      </c>
      <c r="F13" s="5">
        <v>678.7</v>
      </c>
      <c r="G13" s="5">
        <v>669.55</v>
      </c>
      <c r="H13" s="7">
        <f>-1*100*(G13-F13)/G13</f>
        <v>1.3665895004107373</v>
      </c>
      <c r="I13" s="34">
        <f>AVERAGE(H13,H18)</f>
        <v>1.6946260904039474</v>
      </c>
      <c r="J13" s="5">
        <f t="shared" si="0"/>
        <v>101102.04999999999</v>
      </c>
      <c r="K13" s="32">
        <f>SUM(J13:J18)</f>
        <v>595952.53</v>
      </c>
      <c r="L13" s="32">
        <v>2686.49</v>
      </c>
      <c r="M13" s="36">
        <v>-7873.03</v>
      </c>
      <c r="N13" s="16" t="s">
        <v>26</v>
      </c>
      <c r="O13" s="12">
        <v>665.2</v>
      </c>
      <c r="P13" s="5">
        <v>675.18</v>
      </c>
      <c r="Q13" s="7">
        <f t="shared" si="1"/>
        <v>1.500300661455187</v>
      </c>
      <c r="R13" s="34">
        <f>AVERAGE(Q13:Q18)</f>
        <v>-1.3712999029861894</v>
      </c>
      <c r="S13" s="5">
        <v>100000</v>
      </c>
      <c r="T13" s="32">
        <f>SUM(S13:S18)</f>
        <v>600000</v>
      </c>
      <c r="U13" s="32">
        <f>SUM(S13*Q13,S14*Q14,S15*Q15,S16*Q16,S17*Q17,S18*Q18)/100</f>
        <v>-8227.7994179171365</v>
      </c>
      <c r="V13" s="50">
        <v>25580.3</v>
      </c>
      <c r="W13" s="50">
        <v>25225.35</v>
      </c>
      <c r="X13" s="37">
        <f>-1*100*(V13-W13)/V13</f>
        <v>-1.3875912323154957</v>
      </c>
    </row>
    <row r="14" spans="1:34">
      <c r="A14" s="23"/>
      <c r="B14" s="4" t="s">
        <v>30</v>
      </c>
      <c r="C14" s="4">
        <v>1515</v>
      </c>
      <c r="D14" s="4">
        <v>1515</v>
      </c>
      <c r="E14" s="5">
        <v>66.09</v>
      </c>
      <c r="F14" s="5" t="s">
        <v>31</v>
      </c>
      <c r="G14" s="5">
        <v>66.09</v>
      </c>
      <c r="H14" s="7" t="s">
        <v>31</v>
      </c>
      <c r="I14" s="34"/>
      <c r="J14" s="5">
        <f t="shared" si="0"/>
        <v>100126.35</v>
      </c>
      <c r="K14" s="32"/>
      <c r="L14" s="32"/>
      <c r="M14" s="36"/>
      <c r="N14" s="16" t="s">
        <v>26</v>
      </c>
      <c r="O14" s="12">
        <v>66.5</v>
      </c>
      <c r="P14" s="5">
        <v>64.010000000000005</v>
      </c>
      <c r="Q14" s="7">
        <f t="shared" si="1"/>
        <v>-3.7443609022556315</v>
      </c>
      <c r="R14" s="34"/>
      <c r="S14" s="5">
        <v>100000</v>
      </c>
      <c r="T14" s="32"/>
      <c r="U14" s="32"/>
      <c r="V14" s="50"/>
      <c r="W14" s="50"/>
      <c r="X14" s="38"/>
    </row>
    <row r="15" spans="1:34" ht="17.25">
      <c r="A15" s="23"/>
      <c r="B15" s="4" t="s">
        <v>32</v>
      </c>
      <c r="C15" s="4">
        <v>270</v>
      </c>
      <c r="D15" s="4">
        <v>270</v>
      </c>
      <c r="E15" s="5">
        <v>369.75</v>
      </c>
      <c r="F15" s="5" t="s">
        <v>31</v>
      </c>
      <c r="G15" s="5">
        <v>369.75</v>
      </c>
      <c r="H15" s="7" t="s">
        <v>31</v>
      </c>
      <c r="I15" s="34"/>
      <c r="J15" s="5">
        <f t="shared" si="0"/>
        <v>99832.5</v>
      </c>
      <c r="K15" s="32"/>
      <c r="L15" s="32"/>
      <c r="M15" s="36"/>
      <c r="N15" s="16" t="s">
        <v>26</v>
      </c>
      <c r="O15" s="12">
        <v>367.5</v>
      </c>
      <c r="P15" s="5">
        <v>358.75</v>
      </c>
      <c r="Q15" s="7">
        <f t="shared" si="1"/>
        <v>-2.3809523809523809</v>
      </c>
      <c r="R15" s="34"/>
      <c r="S15" s="5">
        <v>100000</v>
      </c>
      <c r="T15" s="32"/>
      <c r="U15" s="32"/>
      <c r="V15" s="50"/>
      <c r="W15" s="50"/>
      <c r="X15" s="38"/>
      <c r="AA15" s="22" t="s">
        <v>33</v>
      </c>
    </row>
    <row r="16" spans="1:34">
      <c r="A16" s="23"/>
      <c r="B16" s="4" t="s">
        <v>34</v>
      </c>
      <c r="C16" s="4">
        <v>153</v>
      </c>
      <c r="D16" s="4">
        <v>153</v>
      </c>
      <c r="E16" s="5">
        <v>652.20000000000005</v>
      </c>
      <c r="F16" s="5" t="s">
        <v>31</v>
      </c>
      <c r="G16" s="5">
        <v>652.20000000000005</v>
      </c>
      <c r="H16" s="7" t="s">
        <v>31</v>
      </c>
      <c r="I16" s="34"/>
      <c r="J16" s="5">
        <f t="shared" si="0"/>
        <v>99786.6</v>
      </c>
      <c r="K16" s="32"/>
      <c r="L16" s="32"/>
      <c r="M16" s="36"/>
      <c r="N16" s="16" t="s">
        <v>26</v>
      </c>
      <c r="O16" s="12">
        <v>653</v>
      </c>
      <c r="P16" s="5">
        <v>628.5</v>
      </c>
      <c r="Q16" s="7">
        <f t="shared" si="1"/>
        <v>-3.7519142419601836</v>
      </c>
      <c r="R16" s="34"/>
      <c r="S16" s="5">
        <v>100000</v>
      </c>
      <c r="T16" s="32"/>
      <c r="U16" s="32"/>
      <c r="V16" s="50"/>
      <c r="W16" s="50"/>
      <c r="X16" s="38"/>
    </row>
    <row r="17" spans="1:24">
      <c r="A17" s="23"/>
      <c r="B17" s="4" t="s">
        <v>35</v>
      </c>
      <c r="C17" s="4">
        <v>100</v>
      </c>
      <c r="D17" s="4">
        <v>100</v>
      </c>
      <c r="E17" s="5">
        <v>945.9</v>
      </c>
      <c r="F17" s="5" t="s">
        <v>31</v>
      </c>
      <c r="G17" s="5">
        <v>945.9</v>
      </c>
      <c r="H17" s="7" t="s">
        <v>31</v>
      </c>
      <c r="I17" s="34"/>
      <c r="J17" s="5">
        <f t="shared" si="0"/>
        <v>94590</v>
      </c>
      <c r="K17" s="32"/>
      <c r="L17" s="32"/>
      <c r="M17" s="36"/>
      <c r="N17" s="16" t="s">
        <v>26</v>
      </c>
      <c r="O17" s="12">
        <v>945.5</v>
      </c>
      <c r="P17" s="5">
        <v>928</v>
      </c>
      <c r="Q17" s="7">
        <f t="shared" si="1"/>
        <v>-1.8508725542041249</v>
      </c>
      <c r="R17" s="34"/>
      <c r="S17" s="5">
        <v>100000</v>
      </c>
      <c r="T17" s="32"/>
      <c r="U17" s="32"/>
      <c r="V17" s="50"/>
      <c r="W17" s="50"/>
      <c r="X17" s="38"/>
    </row>
    <row r="18" spans="1:24">
      <c r="A18" s="23"/>
      <c r="B18" s="4" t="s">
        <v>36</v>
      </c>
      <c r="C18" s="4">
        <v>371</v>
      </c>
      <c r="D18" s="4">
        <v>371</v>
      </c>
      <c r="E18" s="5">
        <v>270.93</v>
      </c>
      <c r="F18" s="5">
        <v>276.41000000000003</v>
      </c>
      <c r="G18" s="5">
        <v>270.93</v>
      </c>
      <c r="H18" s="7">
        <f>-1*100*(G18-F18)/G18</f>
        <v>2.0226626803971572</v>
      </c>
      <c r="I18" s="34"/>
      <c r="J18" s="5">
        <f t="shared" si="0"/>
        <v>100515.03</v>
      </c>
      <c r="K18" s="32"/>
      <c r="L18" s="32"/>
      <c r="M18" s="36"/>
      <c r="N18" s="16" t="s">
        <v>26</v>
      </c>
      <c r="O18" s="12">
        <v>269</v>
      </c>
      <c r="P18" s="5">
        <v>274.38</v>
      </c>
      <c r="Q18" s="7">
        <f t="shared" si="1"/>
        <v>1.9999999999999982</v>
      </c>
      <c r="R18" s="34"/>
      <c r="S18" s="9">
        <v>100000</v>
      </c>
      <c r="T18" s="32"/>
      <c r="U18" s="32"/>
      <c r="V18" s="50"/>
      <c r="W18" s="50"/>
      <c r="X18" s="39"/>
    </row>
    <row r="19" spans="1:24">
      <c r="A19" s="23" t="s">
        <v>37</v>
      </c>
      <c r="B19" s="4" t="s">
        <v>35</v>
      </c>
      <c r="C19" s="4">
        <v>0</v>
      </c>
      <c r="D19" s="4">
        <v>100</v>
      </c>
      <c r="E19" s="5" t="s">
        <v>31</v>
      </c>
      <c r="F19" s="5" t="s">
        <v>31</v>
      </c>
      <c r="G19" s="5">
        <v>945.9</v>
      </c>
      <c r="H19" s="7" t="s">
        <v>31</v>
      </c>
      <c r="I19" s="34">
        <v>0</v>
      </c>
      <c r="J19" s="5">
        <f t="shared" si="0"/>
        <v>94590</v>
      </c>
      <c r="K19" s="32">
        <f>SUM(J19:J24)</f>
        <v>394335.44999999995</v>
      </c>
      <c r="L19" s="32">
        <v>0</v>
      </c>
      <c r="M19" s="36">
        <v>-10720.98</v>
      </c>
      <c r="N19" s="16" t="s">
        <v>31</v>
      </c>
      <c r="O19" s="12" t="s">
        <v>31</v>
      </c>
      <c r="P19" s="5" t="s">
        <v>31</v>
      </c>
      <c r="Q19" s="7" t="s">
        <v>31</v>
      </c>
      <c r="R19" s="33">
        <f>AVERAGE(Q19:Q24)</f>
        <v>0.68212669683257876</v>
      </c>
      <c r="S19" s="8" t="s">
        <v>31</v>
      </c>
      <c r="T19" s="35">
        <f>SUM(S23:S24)</f>
        <v>200000</v>
      </c>
      <c r="U19" s="32">
        <f>SUM(S23*Q23,S24*Q24)/100</f>
        <v>1364.2533936651571</v>
      </c>
      <c r="V19" s="50">
        <v>25141</v>
      </c>
      <c r="W19" s="32">
        <v>25168.1</v>
      </c>
      <c r="X19" s="37">
        <f>-1*100*(V19-W19)/V19</f>
        <v>0.10779205282207766</v>
      </c>
    </row>
    <row r="20" spans="1:24">
      <c r="A20" s="23"/>
      <c r="B20" s="4" t="s">
        <v>32</v>
      </c>
      <c r="C20" s="4">
        <v>0</v>
      </c>
      <c r="D20" s="4">
        <v>270</v>
      </c>
      <c r="E20" s="5" t="s">
        <v>31</v>
      </c>
      <c r="F20" s="5" t="s">
        <v>31</v>
      </c>
      <c r="G20" s="5">
        <v>369.75</v>
      </c>
      <c r="H20" s="7" t="s">
        <v>31</v>
      </c>
      <c r="I20" s="34"/>
      <c r="J20" s="5">
        <f t="shared" si="0"/>
        <v>99832.5</v>
      </c>
      <c r="K20" s="32"/>
      <c r="L20" s="32"/>
      <c r="M20" s="36"/>
      <c r="N20" s="16" t="s">
        <v>31</v>
      </c>
      <c r="O20" s="12" t="s">
        <v>31</v>
      </c>
      <c r="P20" s="5" t="s">
        <v>31</v>
      </c>
      <c r="Q20" s="7" t="s">
        <v>31</v>
      </c>
      <c r="R20" s="33"/>
      <c r="S20" s="8" t="s">
        <v>31</v>
      </c>
      <c r="T20" s="35"/>
      <c r="U20" s="32"/>
      <c r="V20" s="50"/>
      <c r="W20" s="32"/>
      <c r="X20" s="38"/>
    </row>
    <row r="21" spans="1:24">
      <c r="A21" s="23"/>
      <c r="B21" s="4" t="s">
        <v>34</v>
      </c>
      <c r="C21" s="4">
        <v>0</v>
      </c>
      <c r="D21" s="4">
        <v>153</v>
      </c>
      <c r="E21" s="5" t="s">
        <v>31</v>
      </c>
      <c r="F21" s="5" t="s">
        <v>31</v>
      </c>
      <c r="G21" s="5">
        <v>652.20000000000005</v>
      </c>
      <c r="H21" s="7" t="s">
        <v>31</v>
      </c>
      <c r="I21" s="34"/>
      <c r="J21" s="5">
        <f t="shared" si="0"/>
        <v>99786.6</v>
      </c>
      <c r="K21" s="32"/>
      <c r="L21" s="32"/>
      <c r="M21" s="36"/>
      <c r="N21" s="16" t="s">
        <v>31</v>
      </c>
      <c r="O21" s="12" t="s">
        <v>31</v>
      </c>
      <c r="P21" s="5" t="s">
        <v>31</v>
      </c>
      <c r="Q21" s="7" t="s">
        <v>31</v>
      </c>
      <c r="R21" s="33"/>
      <c r="S21" s="8" t="s">
        <v>31</v>
      </c>
      <c r="T21" s="35"/>
      <c r="U21" s="32"/>
      <c r="V21" s="50"/>
      <c r="W21" s="32"/>
      <c r="X21" s="38"/>
    </row>
    <row r="22" spans="1:24">
      <c r="A22" s="23"/>
      <c r="B22" s="4" t="s">
        <v>30</v>
      </c>
      <c r="C22" s="4">
        <v>0</v>
      </c>
      <c r="D22" s="4">
        <v>1515</v>
      </c>
      <c r="E22" s="5" t="s">
        <v>31</v>
      </c>
      <c r="F22" s="5" t="s">
        <v>31</v>
      </c>
      <c r="G22" s="5">
        <v>66.09</v>
      </c>
      <c r="H22" s="7" t="s">
        <v>31</v>
      </c>
      <c r="I22" s="34"/>
      <c r="J22" s="5">
        <f t="shared" si="0"/>
        <v>100126.35</v>
      </c>
      <c r="K22" s="32"/>
      <c r="L22" s="32"/>
      <c r="M22" s="36"/>
      <c r="N22" s="16" t="s">
        <v>31</v>
      </c>
      <c r="O22" s="12" t="s">
        <v>31</v>
      </c>
      <c r="P22" s="5" t="s">
        <v>31</v>
      </c>
      <c r="Q22" s="7" t="s">
        <v>31</v>
      </c>
      <c r="R22" s="33"/>
      <c r="S22" s="8" t="s">
        <v>31</v>
      </c>
      <c r="T22" s="35"/>
      <c r="U22" s="32"/>
      <c r="V22" s="50"/>
      <c r="W22" s="32"/>
      <c r="X22" s="38"/>
    </row>
    <row r="23" spans="1:24">
      <c r="A23" s="23"/>
      <c r="B23" s="4" t="s">
        <v>38</v>
      </c>
      <c r="C23" s="4">
        <v>0</v>
      </c>
      <c r="D23" s="4">
        <v>0</v>
      </c>
      <c r="E23" s="5" t="s">
        <v>31</v>
      </c>
      <c r="F23" s="5" t="s">
        <v>31</v>
      </c>
      <c r="G23" s="5" t="s">
        <v>31</v>
      </c>
      <c r="H23" s="7" t="s">
        <v>31</v>
      </c>
      <c r="I23" s="34"/>
      <c r="J23" s="5" t="s">
        <v>31</v>
      </c>
      <c r="K23" s="32"/>
      <c r="L23" s="32"/>
      <c r="M23" s="36"/>
      <c r="N23" s="16" t="s">
        <v>39</v>
      </c>
      <c r="O23" s="12">
        <v>44.2</v>
      </c>
      <c r="P23" s="5">
        <v>44.14</v>
      </c>
      <c r="Q23" s="7">
        <f t="shared" si="1"/>
        <v>-0.13574660633484675</v>
      </c>
      <c r="R23" s="34"/>
      <c r="S23" s="10">
        <v>100000</v>
      </c>
      <c r="T23" s="32"/>
      <c r="U23" s="32"/>
      <c r="V23" s="50"/>
      <c r="W23" s="32"/>
      <c r="X23" s="38"/>
    </row>
    <row r="24" spans="1:24">
      <c r="A24" s="23"/>
      <c r="B24" s="4" t="s">
        <v>36</v>
      </c>
      <c r="C24" s="4">
        <v>0</v>
      </c>
      <c r="D24" s="4">
        <v>0</v>
      </c>
      <c r="E24" s="5" t="s">
        <v>31</v>
      </c>
      <c r="F24" s="5" t="s">
        <v>31</v>
      </c>
      <c r="G24" s="5" t="s">
        <v>31</v>
      </c>
      <c r="H24" s="7" t="s">
        <v>31</v>
      </c>
      <c r="I24" s="34"/>
      <c r="J24" s="5" t="s">
        <v>31</v>
      </c>
      <c r="K24" s="32"/>
      <c r="L24" s="32"/>
      <c r="M24" s="36"/>
      <c r="N24" s="16" t="s">
        <v>39</v>
      </c>
      <c r="O24" s="12">
        <v>270</v>
      </c>
      <c r="P24" s="5">
        <v>274.05</v>
      </c>
      <c r="Q24" s="7">
        <f t="shared" si="1"/>
        <v>1.5000000000000042</v>
      </c>
      <c r="R24" s="34"/>
      <c r="S24" s="5">
        <v>100000</v>
      </c>
      <c r="T24" s="32"/>
      <c r="U24" s="32"/>
      <c r="V24" s="50"/>
      <c r="W24" s="32"/>
      <c r="X24" s="39"/>
    </row>
    <row r="25" spans="1:24">
      <c r="A25" s="23" t="s">
        <v>40</v>
      </c>
      <c r="B25" s="4" t="s">
        <v>35</v>
      </c>
      <c r="C25" s="4">
        <v>0</v>
      </c>
      <c r="D25" s="4">
        <v>100</v>
      </c>
      <c r="E25" s="5" t="s">
        <v>31</v>
      </c>
      <c r="F25" s="5">
        <v>945.95</v>
      </c>
      <c r="G25" s="5">
        <v>945.9</v>
      </c>
      <c r="H25" s="7">
        <f>-1*100*(G25-F25)/G25</f>
        <v>5.2859710328859513E-3</v>
      </c>
      <c r="I25" s="34">
        <f>AVERAGE(H25,H27,H29)</f>
        <v>1.0385124135876838</v>
      </c>
      <c r="J25" s="5">
        <f t="shared" si="0"/>
        <v>94590</v>
      </c>
      <c r="K25" s="32">
        <f>SUM(J25:J31)</f>
        <v>693314.36999999988</v>
      </c>
      <c r="L25" s="32">
        <v>3830.03</v>
      </c>
      <c r="M25" s="36">
        <v>-15026.08</v>
      </c>
      <c r="N25" s="16" t="s">
        <v>31</v>
      </c>
      <c r="O25" s="12" t="s">
        <v>31</v>
      </c>
      <c r="P25" s="5" t="s">
        <v>31</v>
      </c>
      <c r="Q25" s="7" t="s">
        <v>31</v>
      </c>
      <c r="R25" s="37">
        <f>AVERAGE(Q25:Q31)</f>
        <v>-1.0952813187836237</v>
      </c>
      <c r="S25" s="5" t="s">
        <v>31</v>
      </c>
      <c r="T25" s="26">
        <f>SUM(S25:S31)</f>
        <v>300000</v>
      </c>
      <c r="U25" s="26">
        <f>SUM(S29*Q29,S30*Q30,S31*Q31)/100</f>
        <v>-3285.8439563508714</v>
      </c>
      <c r="V25" s="40">
        <v>25344.15</v>
      </c>
      <c r="W25" s="40">
        <v>25320.45</v>
      </c>
      <c r="X25" s="37">
        <f>-1*100*(V25-W25)/V25</f>
        <v>-9.3512704115153694E-2</v>
      </c>
    </row>
    <row r="26" spans="1:24">
      <c r="A26" s="23"/>
      <c r="B26" s="4" t="s">
        <v>32</v>
      </c>
      <c r="C26" s="4">
        <v>0</v>
      </c>
      <c r="D26" s="4">
        <v>270</v>
      </c>
      <c r="E26" s="5" t="s">
        <v>31</v>
      </c>
      <c r="F26" s="5" t="s">
        <v>31</v>
      </c>
      <c r="G26" s="5">
        <v>369.75</v>
      </c>
      <c r="H26" s="7" t="s">
        <v>31</v>
      </c>
      <c r="I26" s="34"/>
      <c r="J26" s="5">
        <f>D26*G26</f>
        <v>99832.5</v>
      </c>
      <c r="K26" s="32"/>
      <c r="L26" s="32"/>
      <c r="M26" s="36"/>
      <c r="N26" s="16" t="s">
        <v>31</v>
      </c>
      <c r="O26" s="12" t="s">
        <v>31</v>
      </c>
      <c r="P26" s="5" t="s">
        <v>31</v>
      </c>
      <c r="Q26" s="7" t="s">
        <v>31</v>
      </c>
      <c r="R26" s="38"/>
      <c r="S26" s="5" t="s">
        <v>31</v>
      </c>
      <c r="T26" s="27"/>
      <c r="U26" s="27"/>
      <c r="V26" s="41"/>
      <c r="W26" s="41"/>
      <c r="X26" s="38"/>
    </row>
    <row r="27" spans="1:24">
      <c r="A27" s="23"/>
      <c r="B27" s="4" t="s">
        <v>34</v>
      </c>
      <c r="C27" s="4">
        <v>168</v>
      </c>
      <c r="D27" s="4">
        <v>321</v>
      </c>
      <c r="E27" s="5">
        <v>592</v>
      </c>
      <c r="F27" s="5">
        <v>604.02</v>
      </c>
      <c r="G27" s="5">
        <f>(153*652.2+168*592)/321</f>
        <v>620.6934579439253</v>
      </c>
      <c r="H27" s="7">
        <f>-1*100*(E27-F27)/E27</f>
        <v>2.0304054054054022</v>
      </c>
      <c r="I27" s="34"/>
      <c r="J27" s="5">
        <f>D27*G27</f>
        <v>199242.6</v>
      </c>
      <c r="K27" s="32"/>
      <c r="L27" s="32"/>
      <c r="M27" s="36"/>
      <c r="N27" s="16" t="s">
        <v>31</v>
      </c>
      <c r="O27" s="12" t="s">
        <v>31</v>
      </c>
      <c r="P27" s="5" t="s">
        <v>31</v>
      </c>
      <c r="Q27" s="7" t="s">
        <v>31</v>
      </c>
      <c r="R27" s="38"/>
      <c r="S27" s="5" t="s">
        <v>31</v>
      </c>
      <c r="T27" s="27"/>
      <c r="U27" s="27"/>
      <c r="V27" s="41"/>
      <c r="W27" s="41"/>
      <c r="X27" s="38"/>
    </row>
    <row r="28" spans="1:24">
      <c r="A28" s="23"/>
      <c r="B28" s="4" t="s">
        <v>30</v>
      </c>
      <c r="C28" s="4">
        <v>0</v>
      </c>
      <c r="D28" s="4">
        <v>1515</v>
      </c>
      <c r="E28" s="5" t="s">
        <v>31</v>
      </c>
      <c r="F28" s="5" t="s">
        <v>31</v>
      </c>
      <c r="G28" s="5">
        <v>66.09</v>
      </c>
      <c r="H28" s="7" t="s">
        <v>31</v>
      </c>
      <c r="I28" s="34"/>
      <c r="J28" s="5">
        <f>D28*G28</f>
        <v>100126.35</v>
      </c>
      <c r="K28" s="32"/>
      <c r="L28" s="32"/>
      <c r="M28" s="36"/>
      <c r="N28" s="16" t="s">
        <v>31</v>
      </c>
      <c r="O28" s="12" t="s">
        <v>31</v>
      </c>
      <c r="P28" s="5" t="s">
        <v>31</v>
      </c>
      <c r="Q28" s="7" t="s">
        <v>31</v>
      </c>
      <c r="R28" s="38"/>
      <c r="S28" s="5" t="s">
        <v>31</v>
      </c>
      <c r="T28" s="27"/>
      <c r="U28" s="27"/>
      <c r="V28" s="41"/>
      <c r="W28" s="41"/>
      <c r="X28" s="38"/>
    </row>
    <row r="29" spans="1:24">
      <c r="A29" s="23"/>
      <c r="B29" s="4" t="s">
        <v>29</v>
      </c>
      <c r="C29" s="4">
        <v>298</v>
      </c>
      <c r="D29" s="4">
        <v>298</v>
      </c>
      <c r="E29" s="5">
        <v>669.54</v>
      </c>
      <c r="F29" s="5">
        <v>676.77</v>
      </c>
      <c r="G29">
        <v>669.54</v>
      </c>
      <c r="H29" s="7">
        <f>-1*100*(G29-F29)/G29</f>
        <v>1.079845864324763</v>
      </c>
      <c r="I29" s="34"/>
      <c r="J29" s="5">
        <f>D29*G29</f>
        <v>199522.91999999998</v>
      </c>
      <c r="K29" s="32"/>
      <c r="L29" s="32"/>
      <c r="M29" s="36"/>
      <c r="N29" s="11" t="s">
        <v>41</v>
      </c>
      <c r="O29" s="12">
        <v>668</v>
      </c>
      <c r="P29" s="5">
        <v>678.02</v>
      </c>
      <c r="Q29" s="7">
        <f t="shared" si="1"/>
        <v>1.4999999999999973</v>
      </c>
      <c r="R29" s="38"/>
      <c r="S29" s="5">
        <v>100000</v>
      </c>
      <c r="T29" s="27"/>
      <c r="U29" s="27"/>
      <c r="V29" s="41"/>
      <c r="W29" s="41"/>
      <c r="X29" s="38"/>
    </row>
    <row r="30" spans="1:24">
      <c r="A30" s="23"/>
      <c r="B30" s="4" t="s">
        <v>36</v>
      </c>
      <c r="C30" s="4">
        <v>0</v>
      </c>
      <c r="D30" s="4">
        <v>0</v>
      </c>
      <c r="E30" s="5" t="s">
        <v>31</v>
      </c>
      <c r="F30" s="5" t="s">
        <v>31</v>
      </c>
      <c r="G30" s="5" t="s">
        <v>31</v>
      </c>
      <c r="H30" s="7" t="s">
        <v>31</v>
      </c>
      <c r="I30" s="34"/>
      <c r="J30" s="5" t="s">
        <v>31</v>
      </c>
      <c r="K30" s="32"/>
      <c r="L30" s="32"/>
      <c r="M30" s="36"/>
      <c r="N30" s="11" t="s">
        <v>42</v>
      </c>
      <c r="O30" s="12">
        <v>269.5</v>
      </c>
      <c r="P30" s="5">
        <v>259.5</v>
      </c>
      <c r="Q30" s="7">
        <f t="shared" si="1"/>
        <v>-3.7105751391465676</v>
      </c>
      <c r="R30" s="38"/>
      <c r="S30" s="5">
        <v>100000</v>
      </c>
      <c r="T30" s="27"/>
      <c r="U30" s="27"/>
      <c r="V30" s="41"/>
      <c r="W30" s="41"/>
      <c r="X30" s="38"/>
    </row>
    <row r="31" spans="1:24">
      <c r="A31" s="23"/>
      <c r="B31" s="4" t="s">
        <v>38</v>
      </c>
      <c r="C31" s="4">
        <v>0</v>
      </c>
      <c r="D31" s="4">
        <v>0</v>
      </c>
      <c r="E31" s="5" t="s">
        <v>31</v>
      </c>
      <c r="F31" s="5" t="s">
        <v>31</v>
      </c>
      <c r="G31" s="5" t="s">
        <v>31</v>
      </c>
      <c r="H31" s="7" t="s">
        <v>31</v>
      </c>
      <c r="I31" s="34"/>
      <c r="J31" s="5" t="s">
        <v>31</v>
      </c>
      <c r="K31" s="32"/>
      <c r="L31" s="32"/>
      <c r="M31" s="36"/>
      <c r="N31" s="11" t="s">
        <v>43</v>
      </c>
      <c r="O31" s="12">
        <v>46.5</v>
      </c>
      <c r="P31" s="5">
        <v>46</v>
      </c>
      <c r="Q31" s="7">
        <f t="shared" si="1"/>
        <v>-1.075268817204301</v>
      </c>
      <c r="R31" s="39"/>
      <c r="S31" s="5">
        <v>100000</v>
      </c>
      <c r="T31" s="28"/>
      <c r="U31" s="28"/>
      <c r="V31" s="42"/>
      <c r="W31" s="42"/>
      <c r="X31" s="39"/>
    </row>
    <row r="32" spans="1:24">
      <c r="A32" s="23" t="s">
        <v>44</v>
      </c>
      <c r="B32" s="4" t="s">
        <v>32</v>
      </c>
      <c r="C32" s="4">
        <v>0</v>
      </c>
      <c r="D32" s="4">
        <v>270</v>
      </c>
      <c r="E32" s="5" t="s">
        <v>31</v>
      </c>
      <c r="F32" s="5">
        <v>379.15</v>
      </c>
      <c r="G32" s="5">
        <v>369.75</v>
      </c>
      <c r="H32" s="7">
        <f>-1*100*(G32-F32)/G32</f>
        <v>2.5422582826233882</v>
      </c>
      <c r="I32" s="34">
        <f>AVERAGE(H32:H36)</f>
        <v>2.0730658942243907</v>
      </c>
      <c r="J32" s="5">
        <f>D32*G32</f>
        <v>99832.5</v>
      </c>
      <c r="K32" s="32">
        <f>SUM(J32:J36)</f>
        <v>798305.22</v>
      </c>
      <c r="L32" s="32">
        <v>3221.99</v>
      </c>
      <c r="M32" s="36">
        <v>-29025.61</v>
      </c>
      <c r="N32" s="16" t="s">
        <v>31</v>
      </c>
      <c r="O32" s="12" t="s">
        <v>31</v>
      </c>
      <c r="P32" s="5" t="s">
        <v>31</v>
      </c>
      <c r="Q32" s="7" t="s">
        <v>31</v>
      </c>
      <c r="R32" s="37">
        <f>AVERAGE(Q32:Q36)</f>
        <v>-3.1806230366289605</v>
      </c>
      <c r="S32" s="5" t="s">
        <v>31</v>
      </c>
      <c r="T32" s="26">
        <f>SUM(S32:S36)</f>
        <v>200000</v>
      </c>
      <c r="U32" s="26">
        <f>SUM(S35*Q35,S36*Q36)/100</f>
        <v>-6361.2460732579211</v>
      </c>
      <c r="V32" s="47">
        <v>25344.6</v>
      </c>
      <c r="W32" s="47">
        <v>25064.75</v>
      </c>
      <c r="X32" s="37">
        <f>-1*100*(V32-W32)/V32</f>
        <v>-1.1041799831127679</v>
      </c>
    </row>
    <row r="33" spans="1:24">
      <c r="A33" s="23"/>
      <c r="B33" s="4" t="s">
        <v>30</v>
      </c>
      <c r="C33" s="4">
        <v>0</v>
      </c>
      <c r="D33" s="4">
        <v>1515</v>
      </c>
      <c r="E33" s="5" t="s">
        <v>31</v>
      </c>
      <c r="F33" s="5">
        <v>67.150000000000006</v>
      </c>
      <c r="G33" s="5">
        <v>66.09</v>
      </c>
      <c r="H33" s="7">
        <f>-1*100*(G33-F33)/G33</f>
        <v>1.603873505825393</v>
      </c>
      <c r="I33" s="34"/>
      <c r="J33" s="5">
        <f>D33*G33</f>
        <v>100126.35</v>
      </c>
      <c r="K33" s="32"/>
      <c r="L33" s="32"/>
      <c r="M33" s="36"/>
      <c r="N33" s="16" t="s">
        <v>31</v>
      </c>
      <c r="O33" s="12" t="s">
        <v>31</v>
      </c>
      <c r="P33" s="5" t="s">
        <v>31</v>
      </c>
      <c r="Q33" s="7" t="s">
        <v>31</v>
      </c>
      <c r="R33" s="38"/>
      <c r="S33" s="5" t="s">
        <v>31</v>
      </c>
      <c r="T33" s="27"/>
      <c r="U33" s="27"/>
      <c r="V33" s="48"/>
      <c r="W33" s="48"/>
      <c r="X33" s="38"/>
    </row>
    <row r="34" spans="1:24">
      <c r="A34" s="23"/>
      <c r="B34" s="4" t="s">
        <v>34</v>
      </c>
      <c r="C34" s="4">
        <v>558</v>
      </c>
      <c r="D34" s="4">
        <v>711</v>
      </c>
      <c r="E34" s="5">
        <v>537</v>
      </c>
      <c r="F34" s="5" t="s">
        <v>31</v>
      </c>
      <c r="G34" s="5">
        <v>561.79</v>
      </c>
      <c r="H34" s="7" t="s">
        <v>31</v>
      </c>
      <c r="I34" s="34"/>
      <c r="J34" s="5">
        <f>D34*G34</f>
        <v>399432.69</v>
      </c>
      <c r="K34" s="32"/>
      <c r="L34" s="32"/>
      <c r="M34" s="36"/>
      <c r="N34" s="16" t="s">
        <v>31</v>
      </c>
      <c r="O34" s="12" t="s">
        <v>31</v>
      </c>
      <c r="P34" s="5" t="s">
        <v>31</v>
      </c>
      <c r="Q34" s="7" t="s">
        <v>31</v>
      </c>
      <c r="R34" s="38"/>
      <c r="S34" s="5" t="s">
        <v>31</v>
      </c>
      <c r="T34" s="27"/>
      <c r="U34" s="27"/>
      <c r="V34" s="48"/>
      <c r="W34" s="48"/>
      <c r="X34" s="38"/>
    </row>
    <row r="35" spans="1:24">
      <c r="A35" s="23"/>
      <c r="B35" s="4" t="s">
        <v>45</v>
      </c>
      <c r="C35" s="4">
        <v>183</v>
      </c>
      <c r="D35" s="4">
        <v>183</v>
      </c>
      <c r="E35" s="5">
        <v>1086.96</v>
      </c>
      <c r="F35" s="5" t="s">
        <v>31</v>
      </c>
      <c r="G35" s="5">
        <v>1086.96</v>
      </c>
      <c r="H35" s="7" t="s">
        <v>31</v>
      </c>
      <c r="I35" s="34"/>
      <c r="J35" s="5">
        <f t="shared" ref="J34:J35" si="2">D35*G35</f>
        <v>198913.68</v>
      </c>
      <c r="K35" s="32"/>
      <c r="L35" s="32"/>
      <c r="M35" s="36"/>
      <c r="N35" s="16" t="s">
        <v>46</v>
      </c>
      <c r="O35" s="12">
        <v>1097.7</v>
      </c>
      <c r="P35" s="5">
        <v>1061</v>
      </c>
      <c r="Q35" s="14">
        <f t="shared" si="1"/>
        <v>-3.3433542862348586</v>
      </c>
      <c r="R35" s="38"/>
      <c r="S35" s="5">
        <v>100000</v>
      </c>
      <c r="T35" s="27"/>
      <c r="U35" s="27"/>
      <c r="V35" s="48"/>
      <c r="W35" s="48"/>
      <c r="X35" s="38"/>
    </row>
    <row r="36" spans="1:24">
      <c r="A36" s="23"/>
      <c r="B36" s="4" t="s">
        <v>38</v>
      </c>
      <c r="C36" s="4">
        <v>0</v>
      </c>
      <c r="D36" s="4">
        <v>0</v>
      </c>
      <c r="E36" s="5" t="s">
        <v>31</v>
      </c>
      <c r="F36" s="5" t="s">
        <v>31</v>
      </c>
      <c r="G36" s="5" t="s">
        <v>31</v>
      </c>
      <c r="H36" s="7" t="s">
        <v>31</v>
      </c>
      <c r="I36" s="34"/>
      <c r="J36" s="5" t="s">
        <v>31</v>
      </c>
      <c r="K36" s="32"/>
      <c r="L36" s="32"/>
      <c r="M36" s="36"/>
      <c r="N36" s="15" t="s">
        <v>42</v>
      </c>
      <c r="O36" s="12">
        <v>46.39</v>
      </c>
      <c r="P36" s="6">
        <v>44.99</v>
      </c>
      <c r="Q36" s="7">
        <f>-1*100*(O36-P36)/O36</f>
        <v>-3.0178917870230624</v>
      </c>
      <c r="R36" s="39"/>
      <c r="S36" s="5">
        <v>100000</v>
      </c>
      <c r="T36" s="28"/>
      <c r="U36" s="28"/>
      <c r="V36" s="49"/>
      <c r="W36" s="49"/>
      <c r="X36" s="39"/>
    </row>
  </sheetData>
  <mergeCells count="62">
    <mergeCell ref="AA3:AA4"/>
    <mergeCell ref="AB3:AC3"/>
    <mergeCell ref="U32:U36"/>
    <mergeCell ref="V32:V36"/>
    <mergeCell ref="W32:W36"/>
    <mergeCell ref="V9:X9"/>
    <mergeCell ref="V11:V12"/>
    <mergeCell ref="W11:W12"/>
    <mergeCell ref="V13:V18"/>
    <mergeCell ref="W13:W18"/>
    <mergeCell ref="V19:V24"/>
    <mergeCell ref="W19:W24"/>
    <mergeCell ref="A32:A36"/>
    <mergeCell ref="R25:R31"/>
    <mergeCell ref="R32:R36"/>
    <mergeCell ref="T25:T31"/>
    <mergeCell ref="X11:X12"/>
    <mergeCell ref="X13:X18"/>
    <mergeCell ref="X19:X24"/>
    <mergeCell ref="V25:V31"/>
    <mergeCell ref="W25:W31"/>
    <mergeCell ref="X25:X31"/>
    <mergeCell ref="X32:X36"/>
    <mergeCell ref="M32:M36"/>
    <mergeCell ref="R11:R12"/>
    <mergeCell ref="T11:T12"/>
    <mergeCell ref="U11:U12"/>
    <mergeCell ref="T32:T36"/>
    <mergeCell ref="I32:I36"/>
    <mergeCell ref="K19:K24"/>
    <mergeCell ref="K25:K31"/>
    <mergeCell ref="K32:K36"/>
    <mergeCell ref="L19:L24"/>
    <mergeCell ref="L25:L31"/>
    <mergeCell ref="L32:L36"/>
    <mergeCell ref="M11:M12"/>
    <mergeCell ref="M13:M18"/>
    <mergeCell ref="I19:I24"/>
    <mergeCell ref="I25:I31"/>
    <mergeCell ref="M19:M24"/>
    <mergeCell ref="M25:M31"/>
    <mergeCell ref="B9:B10"/>
    <mergeCell ref="U25:U31"/>
    <mergeCell ref="N9:U9"/>
    <mergeCell ref="C9:M9"/>
    <mergeCell ref="K11:K12"/>
    <mergeCell ref="K13:K18"/>
    <mergeCell ref="L11:L12"/>
    <mergeCell ref="L13:L18"/>
    <mergeCell ref="R19:R24"/>
    <mergeCell ref="T19:T24"/>
    <mergeCell ref="U19:U24"/>
    <mergeCell ref="R13:R18"/>
    <mergeCell ref="T13:T18"/>
    <mergeCell ref="U13:U18"/>
    <mergeCell ref="I11:I12"/>
    <mergeCell ref="I13:I18"/>
    <mergeCell ref="A25:A31"/>
    <mergeCell ref="A11:A12"/>
    <mergeCell ref="A13:A18"/>
    <mergeCell ref="A19:A24"/>
    <mergeCell ref="A9:A10"/>
  </mergeCells>
  <conditionalFormatting sqref="L11:M36 Q11:R36 X11:X36 H11:I36 U11:U36">
    <cfRule type="cellIs" dxfId="3" priority="5" operator="greaterThan">
      <formula>0</formula>
    </cfRule>
  </conditionalFormatting>
  <conditionalFormatting sqref="L11:M36 Q11:R36 X11:X36 H11:I36 U11:U36">
    <cfRule type="cellIs" dxfId="2" priority="4" operator="lessThan">
      <formula>0</formula>
    </cfRule>
  </conditionalFormatting>
  <conditionalFormatting sqref="L11:M36 Q11:R36 H11:I36 U11:U36">
    <cfRule type="containsText" priority="3" stopIfTrue="1" operator="containsText" text="NA">
      <formula>NOT(ISERROR(SEARCH("NA",H11)))</formula>
    </cfRule>
  </conditionalFormatting>
  <conditionalFormatting sqref="AC16 AF5:AH5 AC5:AD5">
    <cfRule type="cellIs" dxfId="1" priority="2" operator="greaterThan">
      <formula>0</formula>
    </cfRule>
  </conditionalFormatting>
  <conditionalFormatting sqref="AC16 AF5:AH5 AC5:AD5">
    <cfRule type="cellIs" dxfId="0" priority="1" operator="lessThan">
      <formula>0</formula>
    </cfRule>
  </conditionalFormatting>
  <printOptions verticalCentered="1"/>
  <pageMargins left="0.25" right="0.25" top="0.75" bottom="0.75" header="0.3" footer="0.3"/>
  <pageSetup scale="95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2026-01-25T04:54:38Z</dcterms:created>
  <dcterms:modified xsi:type="dcterms:W3CDTF">2026-01-28T03:24:31Z</dcterms:modified>
  <cp:category/>
  <cp:contentStatus/>
</cp:coreProperties>
</file>